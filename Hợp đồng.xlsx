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\FileChamCong\"/>
    </mc:Choice>
  </mc:AlternateContent>
  <xr:revisionPtr revIDLastSave="0" documentId="13_ncr:1_{2868DC52-9621-4180-87EE-82C42E063DE7}" xr6:coauthVersionLast="47" xr6:coauthVersionMax="47" xr10:uidLastSave="{00000000-0000-0000-0000-000000000000}"/>
  <bookViews>
    <workbookView xWindow="-108" yWindow="-108" windowWidth="23256" windowHeight="12456" xr2:uid="{A399A2A8-684F-4D66-BDB0-B555E68E9CD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2" i="1"/>
  <c r="H13" i="1"/>
  <c r="H14" i="1"/>
  <c r="H15" i="1"/>
  <c r="H16" i="1"/>
  <c r="H18" i="1"/>
  <c r="H20" i="1"/>
  <c r="H21" i="1"/>
  <c r="H2" i="1"/>
</calcChain>
</file>

<file path=xl/sharedStrings.xml><?xml version="1.0" encoding="utf-8"?>
<sst xmlns="http://schemas.openxmlformats.org/spreadsheetml/2006/main" count="127" uniqueCount="71">
  <si>
    <t>ID</t>
  </si>
  <si>
    <t>Họ và tên</t>
  </si>
  <si>
    <t>Phòng ban</t>
  </si>
  <si>
    <t>Chức danh</t>
  </si>
  <si>
    <t>Trạng thái</t>
  </si>
  <si>
    <t>Ngày vào</t>
  </si>
  <si>
    <t>Loại HĐ</t>
  </si>
  <si>
    <t>BASA0001</t>
  </si>
  <si>
    <t>Đinh Mạnh Cường</t>
  </si>
  <si>
    <t>C-level</t>
  </si>
  <si>
    <t>Tổng Giám đốc</t>
  </si>
  <si>
    <t>Fulltime</t>
  </si>
  <si>
    <t>XĐTH</t>
  </si>
  <si>
    <t>BASA0002</t>
  </si>
  <si>
    <t>Nguyễn Minh Trí</t>
  </si>
  <si>
    <t>Sales</t>
  </si>
  <si>
    <t>Chuyên viên Quản lý sản phẩm</t>
  </si>
  <si>
    <t>BASA0003</t>
  </si>
  <si>
    <t>Lê Thu Hằng</t>
  </si>
  <si>
    <t>Tech</t>
  </si>
  <si>
    <t>Nhân viên nghiên cứu và phát triển AI</t>
  </si>
  <si>
    <t>BASA0004</t>
  </si>
  <si>
    <t>Vũ Thanh Tùng</t>
  </si>
  <si>
    <t>BASA0005</t>
  </si>
  <si>
    <t>Hỏa Hoàng Bảo Hoa</t>
  </si>
  <si>
    <t>Phụ trách Tài chính và Vận hành</t>
  </si>
  <si>
    <t>BASA0006</t>
  </si>
  <si>
    <t>Bạch Quang Anh</t>
  </si>
  <si>
    <t>Chuyên viên kĩ thuật công nghệ AI</t>
  </si>
  <si>
    <t>Thử việc</t>
  </si>
  <si>
    <t>Chờ</t>
  </si>
  <si>
    <t>BASA0007</t>
  </si>
  <si>
    <t>Ngô Đức Chung</t>
  </si>
  <si>
    <t>BASA0008</t>
  </si>
  <si>
    <t>Võ Anh Hoàng Trường</t>
  </si>
  <si>
    <t>Trưởng nhóm Phát triển Nguồn cung</t>
  </si>
  <si>
    <t>Inactive</t>
  </si>
  <si>
    <t>BASA0009</t>
  </si>
  <si>
    <t>Tô Nhật Khánh</t>
  </si>
  <si>
    <t>BASA0010</t>
  </si>
  <si>
    <t>Võ Anh Hiếu</t>
  </si>
  <si>
    <t>Head of Sales - Giám đốc Kinh doanh</t>
  </si>
  <si>
    <t>BASA0011</t>
  </si>
  <si>
    <t>Nguyễn Đăng Bảo</t>
  </si>
  <si>
    <t>Trưởng nhóm Kinh doanh</t>
  </si>
  <si>
    <t>BASA0015</t>
  </si>
  <si>
    <t>Nguyễn Thị Nhung</t>
  </si>
  <si>
    <t>Nhân viên Kinh doanh</t>
  </si>
  <si>
    <t>BASA0016</t>
  </si>
  <si>
    <t>Hoàng Hồng Anh Thủy</t>
  </si>
  <si>
    <t>Sales Ops</t>
  </si>
  <si>
    <t>Sales admin</t>
  </si>
  <si>
    <t>BASA0012</t>
  </si>
  <si>
    <t>Nguyễn Thanh Bình</t>
  </si>
  <si>
    <t>BASA0013</t>
  </si>
  <si>
    <t>Nguyễn Văn Hiếu</t>
  </si>
  <si>
    <t>Lập trình viên (Fullstack)</t>
  </si>
  <si>
    <t>BASA0014</t>
  </si>
  <si>
    <t>Trần Đỗ Quân</t>
  </si>
  <si>
    <t>Mobile dev</t>
  </si>
  <si>
    <t>Hồng Anh</t>
  </si>
  <si>
    <t>BA-Tester Intern</t>
  </si>
  <si>
    <t>Thực tập</t>
  </si>
  <si>
    <t>Lập trình viên (Fullstack) Intern</t>
  </si>
  <si>
    <t>hanoiapartment@gmail.com</t>
  </si>
  <si>
    <t>Đào Quang Tuấn</t>
  </si>
  <si>
    <t>Nguyễn Quang Hiếu</t>
  </si>
  <si>
    <t>Nguyễn Việt Anh</t>
  </si>
  <si>
    <t>Quanquanhong5@gmail.com</t>
  </si>
  <si>
    <t>vua0480@gmail.com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</si>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</sst>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d"/>
  </numFmts>
  <fonts count="10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11734B"/>
      <name val="Arial"/>
      <family val="2"/>
    </font>
    <font>
      <sz val="10"/>
      <color rgb="FF473821"/>
      <name val="Arial"/>
      <family val="2"/>
    </font>
    <font>
      <sz val="10"/>
      <color rgb="FF5A3286"/>
      <name val="Arial"/>
      <family val="2"/>
    </font>
    <font>
      <sz val="10"/>
      <color rgb="FF3D3D3D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2" fontId="1" fillId="0" borderId="1" xfId="0" applyNumberFormat="1" applyFont="1" applyBorder="1" applyAlignment="1">
      <alignment wrapText="1"/>
    </xf>
    <xf numFmtId="2" fontId="2" fillId="0" borderId="1" xfId="0" applyNumberFormat="1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2" fontId="4" fillId="0" borderId="1" xfId="0" applyNumberFormat="1" applyFont="1" applyBorder="1" applyAlignment="1">
      <alignment wrapText="1"/>
    </xf>
    <xf numFmtId="2" fontId="5" fillId="0" borderId="1" xfId="0" applyNumberFormat="1" applyFont="1" applyBorder="1" applyAlignment="1">
      <alignment wrapText="1"/>
    </xf>
    <xf numFmtId="2" fontId="6" fillId="0" borderId="1" xfId="0" applyNumberFormat="1" applyFont="1" applyBorder="1" applyAlignment="1">
      <alignment wrapText="1"/>
    </xf>
    <xf numFmtId="2" fontId="0" fillId="0" borderId="0" xfId="0" applyNumberFormat="1"/>
    <xf numFmtId="14" fontId="1" fillId="0" borderId="1" xfId="0" applyNumberFormat="1" applyFont="1" applyBorder="1" applyAlignment="1">
      <alignment wrapText="1"/>
    </xf>
    <xf numFmtId="14" fontId="0" fillId="0" borderId="0" xfId="0" applyNumberFormat="1"/>
    <xf numFmtId="164" fontId="2" fillId="0" borderId="1" xfId="0" applyNumberFormat="1" applyFont="1" applyBorder="1" applyAlignment="1">
      <alignment horizontal="right" wrapText="1"/>
    </xf>
    <xf numFmtId="0" fontId="8" fillId="0" borderId="0" xfId="1"/>
    <xf numFmtId="0" fontId="9" fillId="3" borderId="2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7" fillId="0" borderId="0" xfId="0" applyFon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Job\FileChamCong\Data%20basata.xlsx" TargetMode="External"/><Relationship Id="rId1" Type="http://schemas.openxmlformats.org/officeDocument/2006/relationships/externalLinkPath" Target="Data%20bas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Họ tên (theo CCCD/hộ chiếu)</v>
          </cell>
          <cell r="C1" t="str">
            <v>Ngày tháng năm sinh (theo CCCD/hộ chiếu)</v>
          </cell>
          <cell r="D1" t="str">
            <v>Giới tính (theo CCCD/hộ chiếu)</v>
          </cell>
          <cell r="E1" t="str">
            <v>Quốc tịch (theo CCCD/hộ chiếu)</v>
          </cell>
          <cell r="F1" t="str">
            <v>Tình trạng hôn nhân</v>
          </cell>
          <cell r="G1" t="str">
            <v>Số CCCD / Hộ chiếu (Theo đăng ký BHXH nếu đã có)</v>
          </cell>
          <cell r="H1" t="str">
            <v>Ngày cấp CCCD / Hộ chiếu nêu trên</v>
          </cell>
          <cell r="I1" t="str">
            <v>Ngày hết hạn CCCD / Hộ chiếu nêu trên</v>
          </cell>
          <cell r="J1" t="str">
            <v>Nơi cấp</v>
          </cell>
          <cell r="K1" t="str">
            <v>Dân tộc</v>
          </cell>
          <cell r="L1" t="str">
            <v>Địa chỉ đăng ký thường trú theo CCCD / Hộ chiếu</v>
          </cell>
          <cell r="M1" t="str">
            <v>Địa chỉ thường trú thực tế</v>
          </cell>
          <cell r="N1" t="str">
            <v>Email cá nhân</v>
          </cell>
        </row>
        <row r="2">
          <cell r="B2" t="str">
            <v>Hỏa Hoàng Bảo Hoa</v>
          </cell>
          <cell r="C2">
            <v>35186</v>
          </cell>
          <cell r="D2" t="str">
            <v>Nữ</v>
          </cell>
          <cell r="E2" t="str">
            <v>Việt Nam</v>
          </cell>
          <cell r="F2" t="str">
            <v>Đã lập gia đình</v>
          </cell>
          <cell r="G2">
            <v>64196000012</v>
          </cell>
          <cell r="H2">
            <v>44748</v>
          </cell>
          <cell r="I2">
            <v>49796</v>
          </cell>
          <cell r="K2" t="str">
            <v>Tày</v>
          </cell>
          <cell r="L2" t="str">
            <v>26, Cụm 5, Phường Thanh Liệt, Thành phố Hà Nội</v>
          </cell>
          <cell r="M2" t="str">
            <v>12A13, Tòa T, TNR Goldsilk Complex, Vạn Phúc, Hà Đông, Hà Nội</v>
          </cell>
          <cell r="N2" t="str">
            <v>hoahhb@gmail.com</v>
          </cell>
        </row>
        <row r="3">
          <cell r="B3" t="str">
            <v>Nguyễn Minh Trí</v>
          </cell>
          <cell r="C3">
            <v>35473</v>
          </cell>
          <cell r="D3" t="str">
            <v>Nam</v>
          </cell>
          <cell r="E3" t="str">
            <v>Việt Nam</v>
          </cell>
          <cell r="F3" t="str">
            <v>Độc thân</v>
          </cell>
          <cell r="G3">
            <v>22097001288</v>
          </cell>
          <cell r="H3">
            <v>44232</v>
          </cell>
          <cell r="I3">
            <v>50083</v>
          </cell>
          <cell r="J3" t="str">
            <v>Cục Cảnh sát quản lý hành chính về trật tự xã hội</v>
          </cell>
          <cell r="K3" t="str">
            <v>Kinh</v>
          </cell>
          <cell r="L3" t="str">
            <v>CH501 - CT7B, Khu đô thị mới, Dương Nội, Hà Đông, Hà Nội</v>
          </cell>
          <cell r="M3" t="str">
            <v>Trùng với Địa chỉ đăng ký thường trú theo CCCD / Hộ chiếu nêu trên</v>
          </cell>
          <cell r="N3" t="str">
            <v>tringuyenpm.0212@gmail.com</v>
          </cell>
        </row>
        <row r="4">
          <cell r="B4" t="str">
            <v>Vũ Thanh Tùng</v>
          </cell>
          <cell r="C4" t="str">
            <v>25-03-2002</v>
          </cell>
          <cell r="D4" t="str">
            <v>Nam</v>
          </cell>
          <cell r="E4" t="str">
            <v>Việt Nam</v>
          </cell>
          <cell r="F4" t="str">
            <v>Độc thân</v>
          </cell>
          <cell r="G4">
            <v>1202012809</v>
          </cell>
          <cell r="H4" t="str">
            <v>29-04-2021</v>
          </cell>
          <cell r="I4" t="str">
            <v>25-03-2027</v>
          </cell>
          <cell r="K4" t="str">
            <v>Kinh</v>
          </cell>
          <cell r="L4" t="str">
            <v>TDP số 6 , Mễ Trì Thượng , Từ Liêm , Hà Nội</v>
          </cell>
          <cell r="M4" t="str">
            <v>Trùng với Địa chỉ đăng ký thường trú theo CCCD / Hộ chiếu nêu trên</v>
          </cell>
          <cell r="N4" t="str">
            <v>vuthanhtung020@gmail.com</v>
          </cell>
        </row>
        <row r="5">
          <cell r="B5" t="str">
            <v>Lê Thu Hằng</v>
          </cell>
          <cell r="C5" t="str">
            <v>17-11-2004</v>
          </cell>
          <cell r="D5" t="str">
            <v>Nữ</v>
          </cell>
          <cell r="E5" t="str">
            <v>Việt Nam</v>
          </cell>
          <cell r="F5" t="str">
            <v>Độc thân</v>
          </cell>
          <cell r="G5">
            <v>1304046153</v>
          </cell>
          <cell r="H5" t="str">
            <v>20-07-2021</v>
          </cell>
          <cell r="I5" t="str">
            <v>17-11-2029</v>
          </cell>
          <cell r="K5" t="str">
            <v>Kinh</v>
          </cell>
          <cell r="L5" t="str">
            <v>Quán Gánh, Nhị Khê, Thường Tín, Hà Nội</v>
          </cell>
          <cell r="M5" t="str">
            <v>Trùng với Địa chỉ đăng ký thường trú theo CCCD / Hộ chiếu nêu trên</v>
          </cell>
          <cell r="N5" t="str">
            <v>hangtri1711@gmail.com</v>
          </cell>
        </row>
        <row r="6">
          <cell r="B6" t="str">
            <v>Đinh Mạnh Cường</v>
          </cell>
          <cell r="C6" t="str">
            <v>28/06/1992</v>
          </cell>
          <cell r="D6" t="str">
            <v>Nam</v>
          </cell>
          <cell r="E6" t="str">
            <v>Việt Nam</v>
          </cell>
          <cell r="F6" t="str">
            <v>Đã lập gia đình</v>
          </cell>
          <cell r="G6">
            <v>33092013134</v>
          </cell>
          <cell r="H6" t="str">
            <v>28/06/2021</v>
          </cell>
          <cell r="I6" t="str">
            <v>28/06/2032</v>
          </cell>
          <cell r="J6" t="str">
            <v>Cục Cảnh sát quản lý hành chính về trật tự xã hội</v>
          </cell>
          <cell r="K6" t="str">
            <v>Kinh</v>
          </cell>
          <cell r="L6" t="str">
            <v>Thôn La Tiến, Nguyên Hòa, Phù Cừ, Hưng Yên</v>
          </cell>
          <cell r="M6" t="str">
            <v>1705 tòa N4A Lê Văn Lương, Nhân Chính, Yên Hòa, Hà Nội</v>
          </cell>
          <cell r="N6" t="str">
            <v>dmcksclck55@gmail.com</v>
          </cell>
        </row>
        <row r="7">
          <cell r="B7" t="str">
            <v>Bạch Quang Anh</v>
          </cell>
          <cell r="C7" t="str">
            <v>28-03-2004</v>
          </cell>
          <cell r="D7" t="str">
            <v>Nam</v>
          </cell>
          <cell r="E7" t="str">
            <v>Việt Nam</v>
          </cell>
          <cell r="F7" t="str">
            <v>Độc thân</v>
          </cell>
          <cell r="G7">
            <v>1204015915</v>
          </cell>
          <cell r="H7" t="str">
            <v>25-04-2021</v>
          </cell>
          <cell r="I7" t="str">
            <v>28-03-2029</v>
          </cell>
          <cell r="J7" t="str">
            <v>Bộ Công an</v>
          </cell>
          <cell r="K7" t="str">
            <v>Kinh</v>
          </cell>
          <cell r="L7" t="str">
            <v>Tổ dân phố 19 Trung Văn, Nam Từ Liêm, Hà Nội</v>
          </cell>
          <cell r="M7" t="str">
            <v>Trùng với Địa chỉ đăng ký thường trú theo CCCD / Hộ chiếu nêu trên</v>
          </cell>
          <cell r="N7" t="str">
            <v>bachquanganh0328@gmail.com</v>
          </cell>
        </row>
        <row r="8">
          <cell r="B8" t="str">
            <v>Phạm Thi Thủy</v>
          </cell>
          <cell r="C8" t="str">
            <v>24/12/1990</v>
          </cell>
          <cell r="D8" t="str">
            <v>Nữ</v>
          </cell>
          <cell r="E8" t="str">
            <v>Việt Nam</v>
          </cell>
          <cell r="F8" t="str">
            <v>Đã lập gia đình</v>
          </cell>
          <cell r="G8">
            <v>34190005202</v>
          </cell>
          <cell r="H8" t="str">
            <v>16/09/2022</v>
          </cell>
          <cell r="I8" t="str">
            <v>24/12/2030</v>
          </cell>
          <cell r="J8" t="str">
            <v>Cục Cảnh sát quản lý hành chính về trật tự xã hội</v>
          </cell>
          <cell r="K8" t="str">
            <v>Kinh</v>
          </cell>
          <cell r="L8" t="str">
            <v>Trọng Quan, Đông Hưng, Thái Bình</v>
          </cell>
          <cell r="M8" t="str">
            <v>Rice City Linh Đàm - Tòa Trung, P. Văn Tân, Khu đô thị Tây Nam Linh Đàm, Hoàng Liệt, Hà Nội</v>
          </cell>
          <cell r="N8" t="str">
            <v>phamthuy.vms@gmail.com</v>
          </cell>
        </row>
        <row r="9">
          <cell r="B9" t="str">
            <v>Ngô Đức Chung</v>
          </cell>
          <cell r="C9" t="str">
            <v>14/02/2004</v>
          </cell>
          <cell r="D9" t="str">
            <v>Nam</v>
          </cell>
          <cell r="E9" t="str">
            <v>Việt Nam</v>
          </cell>
          <cell r="F9" t="str">
            <v>Độc thân</v>
          </cell>
          <cell r="G9">
            <v>35204004996</v>
          </cell>
          <cell r="H9" t="str">
            <v>13/05/2021</v>
          </cell>
          <cell r="I9" t="str">
            <v>14/02/2029</v>
          </cell>
          <cell r="J9" t="str">
            <v>Cục Cảnh sát quản lý hành chính về trật tự xã hội</v>
          </cell>
          <cell r="K9" t="str">
            <v>Kinh</v>
          </cell>
          <cell r="L9" t="str">
            <v>Xóm 5, thôn Mạc, Tiên Tân, thành phố Phủ Lý, Hà Nam</v>
          </cell>
          <cell r="M9" t="str">
            <v>Trùng với Địa chỉ đăng ký thường trú theo CCCD / Hộ chiếu nêu trên</v>
          </cell>
          <cell r="N9" t="str">
            <v>chungtien6b@gmail.com</v>
          </cell>
        </row>
        <row r="10">
          <cell r="B10" t="str">
            <v>Nguyễn Đăng Bảo</v>
          </cell>
          <cell r="C10" t="str">
            <v>14/4/2002</v>
          </cell>
          <cell r="D10" t="str">
            <v>Nam</v>
          </cell>
          <cell r="E10" t="str">
            <v>Việt Nam</v>
          </cell>
          <cell r="F10" t="str">
            <v>Độc thân</v>
          </cell>
          <cell r="G10">
            <v>1202000327</v>
          </cell>
          <cell r="H10" t="str">
            <v>21/12/2021</v>
          </cell>
          <cell r="I10" t="str">
            <v>14/4/2027</v>
          </cell>
          <cell r="J10" t="str">
            <v>Cục Cảnh sát quản lý hành chính về trật tự xã hội</v>
          </cell>
          <cell r="K10" t="str">
            <v>Kinh</v>
          </cell>
          <cell r="L10" t="str">
            <v>Đội 7 vĩnh trung ngọc hồi - thanh trì - hà nội</v>
          </cell>
          <cell r="M10" t="str">
            <v>Trùng với Địa chỉ đăng ký thường trú theo CCCD / Hộ chiếu nêu trên</v>
          </cell>
          <cell r="N10" t="str">
            <v>baobentley2022@gmail.com</v>
          </cell>
        </row>
        <row r="11">
          <cell r="B11" t="str">
            <v>Nguyễn Việt Anh Sơn</v>
          </cell>
          <cell r="C11">
            <v>35313</v>
          </cell>
          <cell r="D11" t="str">
            <v>Nam</v>
          </cell>
          <cell r="E11" t="str">
            <v>Việt Nam</v>
          </cell>
          <cell r="F11" t="str">
            <v>Độc thân</v>
          </cell>
          <cell r="G11">
            <v>1096045609</v>
          </cell>
          <cell r="H11">
            <v>44896</v>
          </cell>
          <cell r="I11">
            <v>49923</v>
          </cell>
          <cell r="J11" t="str">
            <v>Cục Cảnh sát quản lý hành chính về trật tự xã hội</v>
          </cell>
          <cell r="K11" t="str">
            <v>Kinh</v>
          </cell>
          <cell r="L11" t="str">
            <v>tổ 10 cụm 2 phường Liễu Giai, Ba Đình, Hà Nội</v>
          </cell>
          <cell r="M11" t="str">
            <v>Trùng với Địa chỉ đăng ký thường trú theo CCCD / Hộ chiếu nêu trên</v>
          </cell>
          <cell r="N11" t="str">
            <v>sontho.hanoi@gmail.com</v>
          </cell>
        </row>
        <row r="12">
          <cell r="B12" t="str">
            <v>Nguyễn Thanh Bình</v>
          </cell>
          <cell r="C12" t="str">
            <v>20/11/1987</v>
          </cell>
          <cell r="D12" t="str">
            <v>Nữ</v>
          </cell>
          <cell r="E12" t="str">
            <v>Việt Nam</v>
          </cell>
          <cell r="F12" t="str">
            <v>Đã lập gia đình</v>
          </cell>
          <cell r="G12">
            <v>1187053353</v>
          </cell>
          <cell r="H12">
            <v>44444</v>
          </cell>
          <cell r="I12" t="str">
            <v>20/11/2027</v>
          </cell>
          <cell r="J12" t="str">
            <v>Cục Cảnh sát quản lý hành chính về trật tự xã hội</v>
          </cell>
          <cell r="K12" t="str">
            <v>Kinh</v>
          </cell>
          <cell r="L12" t="str">
            <v>Tổ 29 cụm 4 Xuân La - Tây Hồ - Hà Nội</v>
          </cell>
          <cell r="M12" t="str">
            <v>Trùng với Địa chỉ đăng ký thường trú theo CCCD / Hộ chiếu nêu trên</v>
          </cell>
          <cell r="N12" t="str">
            <v>binh201187@gmail.com</v>
          </cell>
        </row>
        <row r="13">
          <cell r="B13" t="str">
            <v>Nguyễn Thị Nhung</v>
          </cell>
          <cell r="C13" t="str">
            <v>17/11/2002</v>
          </cell>
          <cell r="D13" t="str">
            <v>Nữ</v>
          </cell>
          <cell r="E13" t="str">
            <v>Việt Nam</v>
          </cell>
          <cell r="F13" t="str">
            <v>Đã lập gia đình</v>
          </cell>
          <cell r="G13">
            <v>27302009445</v>
          </cell>
          <cell r="H13" t="str">
            <v>14/05/2021</v>
          </cell>
          <cell r="I13" t="str">
            <v>17/11/2027</v>
          </cell>
          <cell r="J13" t="str">
            <v>Cục Cảnh sát quản lý hành chính về trật tự xã hội</v>
          </cell>
          <cell r="K13" t="str">
            <v>Kinh</v>
          </cell>
          <cell r="L13" t="str">
            <v>Vạn Ty, Thái bảo, Gia bình, Bắc ninh</v>
          </cell>
          <cell r="M13" t="str">
            <v>Trùng với Địa chỉ đăng ký thường trú theo CCCD / Hộ chiếu nêu trên</v>
          </cell>
          <cell r="N13" t="str">
            <v>Nhung171122@gmail.com</v>
          </cell>
        </row>
        <row r="14">
          <cell r="B14" t="str">
            <v>Võ Anh Hoàng Trường</v>
          </cell>
          <cell r="C14">
            <v>37633</v>
          </cell>
          <cell r="D14" t="str">
            <v>Nam</v>
          </cell>
          <cell r="E14" t="str">
            <v>Việt Nam</v>
          </cell>
          <cell r="F14" t="str">
            <v>Độc thân</v>
          </cell>
          <cell r="G14">
            <v>40203017181</v>
          </cell>
          <cell r="H14">
            <v>44205</v>
          </cell>
          <cell r="I14">
            <v>46764</v>
          </cell>
          <cell r="J14" t="str">
            <v>Cục Cảnh sát quản lý hành chính về trật tự xã hội</v>
          </cell>
          <cell r="K14" t="str">
            <v>Kinh</v>
          </cell>
          <cell r="L14" t="str">
            <v>Thôn 1 quỳnh hoa, quỳnh sơn, nghệ an</v>
          </cell>
          <cell r="M14" t="str">
            <v>Trùng với Địa chỉ đăng ký thường trú theo CCCD / Hộ chiếu nêu trên</v>
          </cell>
          <cell r="N14" t="str">
            <v>hoangtruongqh03@gmail.com</v>
          </cell>
        </row>
        <row r="15">
          <cell r="B15" t="str">
            <v>Tô Nhật Khánh</v>
          </cell>
          <cell r="C15" t="str">
            <v>21/05/1997</v>
          </cell>
          <cell r="D15" t="str">
            <v>Nam</v>
          </cell>
          <cell r="E15" t="str">
            <v>Việt Nam</v>
          </cell>
          <cell r="F15" t="str">
            <v>Đã lập gia đình</v>
          </cell>
          <cell r="G15">
            <v>14097004823</v>
          </cell>
          <cell r="H15" t="str">
            <v>13/02/2022</v>
          </cell>
          <cell r="I15" t="str">
            <v>21/05/2037</v>
          </cell>
          <cell r="J15" t="str">
            <v>Cục Cảnh sát quản lý hành chính về trật tự xã hội</v>
          </cell>
          <cell r="K15" t="str">
            <v>Kinh</v>
          </cell>
          <cell r="L15" t="str">
            <v>Mai Sơn - Sơn La</v>
          </cell>
          <cell r="M15" t="str">
            <v>Trùng với Địa chỉ đăng ký thường trú theo CCCD / Hộ chiếu nêu trên</v>
          </cell>
          <cell r="N15" t="str">
            <v>tonhatkhanh215@gmail.com</v>
          </cell>
        </row>
        <row r="16">
          <cell r="B16" t="str">
            <v>Hoàng Hồng Anh Thủy</v>
          </cell>
          <cell r="C16" t="str">
            <v>22-12-1992</v>
          </cell>
          <cell r="D16" t="str">
            <v>Nữ</v>
          </cell>
          <cell r="E16" t="str">
            <v>Việt Nam</v>
          </cell>
          <cell r="F16" t="str">
            <v>Đã lập gia đình</v>
          </cell>
          <cell r="G16">
            <v>8192003218</v>
          </cell>
          <cell r="H16" t="str">
            <v>14-01-2025</v>
          </cell>
          <cell r="I16" t="str">
            <v>22-12-2032</v>
          </cell>
          <cell r="J16" t="str">
            <v>Bộ Công an</v>
          </cell>
          <cell r="K16" t="str">
            <v>Tày</v>
          </cell>
          <cell r="L16" t="str">
            <v>CH1107 Spring (Nơ 3) 47 Nguyễn Tuân, Thanh Xuân, Hà Nội</v>
          </cell>
          <cell r="M16" t="str">
            <v>Trùng với Địa chỉ đăng ký thường trú theo CCCD / Hộ chiếu nêu trên</v>
          </cell>
          <cell r="N16" t="str">
            <v>hoang.hong.anh.thuy@gmail.com</v>
          </cell>
        </row>
        <row r="17">
          <cell r="B17" t="str">
            <v>Phạm văn phùng</v>
          </cell>
          <cell r="C17">
            <v>32456</v>
          </cell>
          <cell r="D17" t="str">
            <v>Nam</v>
          </cell>
          <cell r="E17" t="str">
            <v>Việt Nam</v>
          </cell>
          <cell r="F17" t="str">
            <v>Độc thân</v>
          </cell>
          <cell r="G17">
            <v>22088001765</v>
          </cell>
          <cell r="H17" t="str">
            <v>22/11/2021</v>
          </cell>
          <cell r="I17" t="str">
            <v>22/11/2035</v>
          </cell>
          <cell r="J17" t="str">
            <v>Cục Cảnh sát quản lý hành chính về trật tự xã hội</v>
          </cell>
          <cell r="K17" t="str">
            <v>Kinh</v>
          </cell>
          <cell r="L17" t="str">
            <v>Phường móng cái 3 hải đông , thành phố móng cái tỉnh Quảng ninh</v>
          </cell>
          <cell r="M17" t="str">
            <v>Ngõ252 /53 số nhà 10A , phố Tây sơn, Quận đống đa, Thành phố HN</v>
          </cell>
          <cell r="N17" t="str">
            <v>phungvn118@gmail.com</v>
          </cell>
        </row>
        <row r="18">
          <cell r="B18" t="str">
            <v>Vũ Hồng Quân</v>
          </cell>
          <cell r="C18">
            <v>37936</v>
          </cell>
          <cell r="D18" t="str">
            <v>Nam</v>
          </cell>
          <cell r="E18" t="str">
            <v>Việt Nam</v>
          </cell>
          <cell r="F18" t="str">
            <v>Độc thân</v>
          </cell>
          <cell r="G18">
            <v>1203024411</v>
          </cell>
          <cell r="H18" t="str">
            <v>15/04/2024</v>
          </cell>
          <cell r="I18">
            <v>47068</v>
          </cell>
          <cell r="J18" t="str">
            <v>Cục Cảnh sát quản lý hành chính về trật tự xã hội</v>
          </cell>
          <cell r="K18" t="str">
            <v>Tày</v>
          </cell>
          <cell r="L18" t="str">
            <v>122 B6 An Dương, Yên Phụ, Tây Hồ, Hà Nội</v>
          </cell>
          <cell r="M18" t="str">
            <v>32/27 An Dương</v>
          </cell>
          <cell r="N18" t="str">
            <v>quanquanhong5@gmail.com</v>
          </cell>
        </row>
        <row r="19">
          <cell r="B19" t="str">
            <v>Nguyễn Văn Hiếu</v>
          </cell>
          <cell r="C19">
            <v>37899</v>
          </cell>
          <cell r="D19" t="str">
            <v>Nam</v>
          </cell>
          <cell r="E19" t="str">
            <v>Việt Nam</v>
          </cell>
          <cell r="F19" t="str">
            <v>Độc thân</v>
          </cell>
          <cell r="G19">
            <v>26203001380</v>
          </cell>
          <cell r="H19" t="str">
            <v>24/04/2021</v>
          </cell>
          <cell r="I19">
            <v>47031</v>
          </cell>
          <cell r="J19" t="str">
            <v>Cục Cảnh sát quản lý hành chính về trật tự xã hội</v>
          </cell>
          <cell r="K19" t="str">
            <v>Kinh</v>
          </cell>
          <cell r="L19" t="str">
            <v>Nguyệt Đức, Phú Thọ</v>
          </cell>
          <cell r="M19" t="str">
            <v>Trùng với Địa chỉ đăng ký thường trú theo CCCD / Hộ chiếu nêu trên</v>
          </cell>
          <cell r="N19" t="str">
            <v>plvanhieu@gmail.com</v>
          </cell>
        </row>
        <row r="20">
          <cell r="B20" t="str">
            <v>Phan Trần Ngọc Ánh</v>
          </cell>
          <cell r="C20" t="str">
            <v>20/02/2005</v>
          </cell>
          <cell r="D20" t="str">
            <v>Nữ</v>
          </cell>
          <cell r="E20" t="str">
            <v>Việt Nam</v>
          </cell>
          <cell r="F20" t="str">
            <v>Độc thân</v>
          </cell>
          <cell r="G20">
            <v>36305008492</v>
          </cell>
          <cell r="H20">
            <v>44291</v>
          </cell>
          <cell r="I20" t="str">
            <v>20/02/2030</v>
          </cell>
          <cell r="J20" t="str">
            <v>Cục Cảnh sát quản lý hành chính về trật tự xã hội</v>
          </cell>
          <cell r="K20" t="str">
            <v>Kinh</v>
          </cell>
          <cell r="L20" t="str">
            <v>Xóm 6, xã Xuân Hồng, tỉnh Ninh Bình</v>
          </cell>
          <cell r="M20" t="str">
            <v>Căn hộ 109- nhà G1 - TT công ty cao su Sao Vàng, Phường Thanh Xuân, Thành phố Hà Nội</v>
          </cell>
          <cell r="N20" t="str">
            <v>phanngocanh20022005@gmail.com</v>
          </cell>
        </row>
        <row r="21">
          <cell r="B21" t="str">
            <v>Nguyễn Việt Anh</v>
          </cell>
          <cell r="C21" t="str">
            <v>30/04/2004</v>
          </cell>
          <cell r="D21" t="str">
            <v>Nam</v>
          </cell>
          <cell r="E21" t="str">
            <v>Việt Nam</v>
          </cell>
          <cell r="F21" t="str">
            <v>Độc thân</v>
          </cell>
          <cell r="G21">
            <v>36204004166</v>
          </cell>
          <cell r="H21" t="str">
            <v>16/07/2025</v>
          </cell>
          <cell r="I21" t="str">
            <v>30/04/2029</v>
          </cell>
          <cell r="J21" t="str">
            <v>Bộ Công an</v>
          </cell>
          <cell r="K21" t="str">
            <v>Kinh</v>
          </cell>
          <cell r="L21" t="str">
            <v>Giao Bình, Ninh Bình</v>
          </cell>
          <cell r="M21" t="str">
            <v>Ngõ 4 P.Đặng Văn Ngữ, Kim Liên, Hà Nội</v>
          </cell>
          <cell r="N21" t="str">
            <v>anhnv30042004@gmail.com</v>
          </cell>
        </row>
        <row r="22">
          <cell r="B22" t="str">
            <v>Nguyễn Quang Hiếu</v>
          </cell>
          <cell r="C22">
            <v>38179</v>
          </cell>
          <cell r="D22" t="str">
            <v>Nam</v>
          </cell>
          <cell r="E22" t="str">
            <v>Việt Nam</v>
          </cell>
          <cell r="F22" t="str">
            <v>Độc thân</v>
          </cell>
          <cell r="G22">
            <v>64204001507</v>
          </cell>
          <cell r="H22">
            <v>44443</v>
          </cell>
          <cell r="I22">
            <v>47310</v>
          </cell>
          <cell r="J22" t="str">
            <v>Cục Cảnh sát quản lý hành chính về trật tự xã hội</v>
          </cell>
          <cell r="K22" t="str">
            <v>Kinh</v>
          </cell>
          <cell r="L22" t="str">
            <v>Thôn IaMua, Bàu Cạn, Chư Prông, Gia Lai</v>
          </cell>
          <cell r="M22" t="str">
            <v>Trùng với Địa chỉ đăng ký thường trú theo CCCD / Hộ chiếu nêu trên</v>
          </cell>
          <cell r="N22" t="str">
            <v>nguyenquanghieugl2019@gmail.com</v>
          </cell>
        </row>
        <row r="23">
          <cell r="B23" t="str">
            <v>Đào Quang Tuấn</v>
          </cell>
          <cell r="C23">
            <v>37327</v>
          </cell>
          <cell r="D23" t="str">
            <v>Nam</v>
          </cell>
          <cell r="E23" t="str">
            <v>Việt Nam</v>
          </cell>
          <cell r="F23" t="str">
            <v>Độc thân</v>
          </cell>
          <cell r="G23">
            <v>1202025327</v>
          </cell>
          <cell r="H23" t="str">
            <v>29/01/2021</v>
          </cell>
          <cell r="I23">
            <v>46458</v>
          </cell>
          <cell r="J23" t="str">
            <v>Cục Cảnh sát quản lý hành chính về trật tự xã hội</v>
          </cell>
          <cell r="K23" t="str">
            <v>Kinh</v>
          </cell>
          <cell r="L23" t="str">
            <v>Liên Châu Thanh Oai Hà Nội</v>
          </cell>
          <cell r="M23" t="str">
            <v>Trùng với Địa chỉ đăng ký thường trú theo CCCD / Hộ chiếu nêu trên</v>
          </cell>
          <cell r="N23" t="str">
            <v>daotuan6325@gmail.com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anoiapartmen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87E5-FE69-4674-AA8C-A8268366AF4F}">
  <dimension ref="A1:H21"/>
  <sheetViews>
    <sheetView tabSelected="1" workbookViewId="0">
      <selection activeCell="N6" sqref="N6"/>
    </sheetView>
  </sheetViews>
  <sheetFormatPr defaultRowHeight="14.4" x14ac:dyDescent="0.3"/>
  <cols>
    <col min="1" max="1" width="13.109375" customWidth="1"/>
    <col min="2" max="2" width="21.44140625" customWidth="1"/>
    <col min="3" max="3" width="8.88671875" style="10"/>
    <col min="4" max="4" width="33.88671875" style="10" customWidth="1"/>
    <col min="5" max="5" width="8.88671875" style="10"/>
    <col min="6" max="6" width="9" style="12" bestFit="1" customWidth="1"/>
    <col min="7" max="7" width="8.88671875" style="10"/>
  </cols>
  <sheetData>
    <row r="1" spans="1:8" ht="27.6" thickBot="1" x14ac:dyDescent="0.35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11" t="s">
        <v>5</v>
      </c>
      <c r="G1" s="4" t="s">
        <v>6</v>
      </c>
      <c r="H1" s="17" t="s">
        <v>70</v>
      </c>
    </row>
    <row r="2" spans="1:8" ht="15" thickBot="1" x14ac:dyDescent="0.35">
      <c r="A2" s="2" t="s">
        <v>7</v>
      </c>
      <c r="B2" s="3" t="s">
        <v>8</v>
      </c>
      <c r="C2" s="5" t="s">
        <v>9</v>
      </c>
      <c r="D2" s="5" t="s">
        <v>10</v>
      </c>
      <c r="E2" s="6" t="s">
        <v>11</v>
      </c>
      <c r="F2" s="13">
        <v>46106</v>
      </c>
      <c r="G2" s="5" t="s">
        <v>12</v>
      </c>
      <c r="H2" t="str">
        <f>VLOOKUP(B2,[1]Sheet1!$B:$N,13,0)</f>
        <v>dmcksclck55@gmail.com</v>
      </c>
    </row>
    <row r="3" spans="1:8" ht="15" thickBot="1" x14ac:dyDescent="0.35">
      <c r="A3" s="2" t="s">
        <v>13</v>
      </c>
      <c r="B3" s="3" t="s">
        <v>14</v>
      </c>
      <c r="C3" s="5" t="s">
        <v>15</v>
      </c>
      <c r="D3" s="5" t="s">
        <v>16</v>
      </c>
      <c r="E3" s="6" t="s">
        <v>11</v>
      </c>
      <c r="F3" s="13">
        <v>46106</v>
      </c>
      <c r="G3" s="5" t="s">
        <v>12</v>
      </c>
      <c r="H3" t="str">
        <f>VLOOKUP(B3,[1]Sheet1!$B:$N,13,0)</f>
        <v>tringuyenpm.0212@gmail.com</v>
      </c>
    </row>
    <row r="4" spans="1:8" ht="15" thickBot="1" x14ac:dyDescent="0.35">
      <c r="A4" s="2" t="s">
        <v>17</v>
      </c>
      <c r="B4" s="3" t="s">
        <v>18</v>
      </c>
      <c r="C4" s="5" t="s">
        <v>19</v>
      </c>
      <c r="D4" s="5" t="s">
        <v>20</v>
      </c>
      <c r="E4" s="6" t="s">
        <v>11</v>
      </c>
      <c r="F4" s="13">
        <v>46106</v>
      </c>
      <c r="G4" s="5" t="s">
        <v>12</v>
      </c>
      <c r="H4" t="str">
        <f>VLOOKUP(B4,[1]Sheet1!$B:$N,13,0)</f>
        <v>hangtri1711@gmail.com</v>
      </c>
    </row>
    <row r="5" spans="1:8" ht="15" thickBot="1" x14ac:dyDescent="0.35">
      <c r="A5" s="2" t="s">
        <v>21</v>
      </c>
      <c r="B5" s="3" t="s">
        <v>22</v>
      </c>
      <c r="C5" s="5" t="s">
        <v>19</v>
      </c>
      <c r="D5" s="5" t="s">
        <v>16</v>
      </c>
      <c r="E5" s="6" t="s">
        <v>11</v>
      </c>
      <c r="F5" s="13">
        <v>46106</v>
      </c>
      <c r="G5" s="5" t="s">
        <v>12</v>
      </c>
      <c r="H5" t="str">
        <f>VLOOKUP(B5,[1]Sheet1!$B:$N,13,0)</f>
        <v>vuthanhtung020@gmail.com</v>
      </c>
    </row>
    <row r="6" spans="1:8" ht="15" thickBot="1" x14ac:dyDescent="0.35">
      <c r="A6" s="2" t="s">
        <v>23</v>
      </c>
      <c r="B6" s="3" t="s">
        <v>24</v>
      </c>
      <c r="C6" s="5" t="s">
        <v>9</v>
      </c>
      <c r="D6" s="5" t="s">
        <v>25</v>
      </c>
      <c r="E6" s="6" t="s">
        <v>11</v>
      </c>
      <c r="F6" s="13">
        <v>46113</v>
      </c>
      <c r="G6" s="5" t="s">
        <v>12</v>
      </c>
      <c r="H6" t="str">
        <f>VLOOKUP(B6,[1]Sheet1!$B:$N,13,0)</f>
        <v>hoahhb@gmail.com</v>
      </c>
    </row>
    <row r="7" spans="1:8" ht="15" thickBot="1" x14ac:dyDescent="0.35">
      <c r="A7" s="2" t="s">
        <v>26</v>
      </c>
      <c r="B7" s="2" t="s">
        <v>27</v>
      </c>
      <c r="C7" s="5" t="s">
        <v>19</v>
      </c>
      <c r="D7" s="5" t="s">
        <v>28</v>
      </c>
      <c r="E7" s="8" t="s">
        <v>30</v>
      </c>
      <c r="F7" s="13">
        <v>46204</v>
      </c>
      <c r="G7" s="5" t="s">
        <v>12</v>
      </c>
      <c r="H7" t="str">
        <f>VLOOKUP(B7,[1]Sheet1!$B:$N,13,0)</f>
        <v>bachquanganh0328@gmail.com</v>
      </c>
    </row>
    <row r="8" spans="1:8" ht="15" thickBot="1" x14ac:dyDescent="0.35">
      <c r="A8" s="2" t="s">
        <v>31</v>
      </c>
      <c r="B8" s="3" t="s">
        <v>32</v>
      </c>
      <c r="C8" s="5" t="s">
        <v>19</v>
      </c>
      <c r="D8" s="5" t="s">
        <v>28</v>
      </c>
      <c r="E8" s="7" t="s">
        <v>29</v>
      </c>
      <c r="F8" s="13">
        <v>46174</v>
      </c>
      <c r="G8" s="5" t="s">
        <v>29</v>
      </c>
      <c r="H8" t="str">
        <f>VLOOKUP(B8,[1]Sheet1!$B:$N,13,0)</f>
        <v>chungtien6b@gmail.com</v>
      </c>
    </row>
    <row r="9" spans="1:8" ht="15" thickBot="1" x14ac:dyDescent="0.35">
      <c r="A9" s="2" t="s">
        <v>33</v>
      </c>
      <c r="B9" s="3" t="s">
        <v>34</v>
      </c>
      <c r="C9" s="5" t="s">
        <v>15</v>
      </c>
      <c r="D9" s="5" t="s">
        <v>35</v>
      </c>
      <c r="E9" s="9" t="s">
        <v>36</v>
      </c>
      <c r="F9" s="13">
        <v>46167</v>
      </c>
      <c r="G9" s="5" t="s">
        <v>29</v>
      </c>
      <c r="H9" t="str">
        <f>VLOOKUP(B9,[1]Sheet1!$B:$N,13,0)</f>
        <v>hoangtruongqh03@gmail.com</v>
      </c>
    </row>
    <row r="10" spans="1:8" ht="15" thickBot="1" x14ac:dyDescent="0.35">
      <c r="A10" s="2" t="s">
        <v>37</v>
      </c>
      <c r="B10" s="3" t="s">
        <v>38</v>
      </c>
      <c r="C10" s="5" t="s">
        <v>15</v>
      </c>
      <c r="D10" s="5" t="s">
        <v>35</v>
      </c>
      <c r="E10" s="7" t="s">
        <v>29</v>
      </c>
      <c r="F10" s="13">
        <v>46167</v>
      </c>
      <c r="G10" s="5" t="s">
        <v>29</v>
      </c>
      <c r="H10" t="str">
        <f>VLOOKUP(B10,[1]Sheet1!$B:$N,13,0)</f>
        <v>tonhatkhanh215@gmail.com</v>
      </c>
    </row>
    <row r="11" spans="1:8" ht="15" thickBot="1" x14ac:dyDescent="0.35">
      <c r="A11" s="2" t="s">
        <v>39</v>
      </c>
      <c r="B11" s="3" t="s">
        <v>40</v>
      </c>
      <c r="C11" s="5" t="s">
        <v>15</v>
      </c>
      <c r="D11" s="5" t="s">
        <v>41</v>
      </c>
      <c r="E11" s="7" t="s">
        <v>29</v>
      </c>
      <c r="F11" s="13">
        <v>46174</v>
      </c>
      <c r="G11" s="5" t="s">
        <v>29</v>
      </c>
      <c r="H11" s="14" t="s">
        <v>64</v>
      </c>
    </row>
    <row r="12" spans="1:8" ht="15" thickBot="1" x14ac:dyDescent="0.35">
      <c r="A12" s="2" t="s">
        <v>42</v>
      </c>
      <c r="B12" s="3" t="s">
        <v>43</v>
      </c>
      <c r="C12" s="5" t="s">
        <v>15</v>
      </c>
      <c r="D12" s="5" t="s">
        <v>44</v>
      </c>
      <c r="E12" s="7" t="s">
        <v>29</v>
      </c>
      <c r="F12" s="13">
        <v>46174</v>
      </c>
      <c r="G12" s="5" t="s">
        <v>29</v>
      </c>
      <c r="H12" t="str">
        <f>VLOOKUP(B12,[1]Sheet1!$B:$N,13,0)</f>
        <v>baobentley2022@gmail.com</v>
      </c>
    </row>
    <row r="13" spans="1:8" ht="15" thickBot="1" x14ac:dyDescent="0.35">
      <c r="A13" s="2" t="s">
        <v>45</v>
      </c>
      <c r="B13" s="3" t="s">
        <v>46</v>
      </c>
      <c r="C13" s="5" t="s">
        <v>15</v>
      </c>
      <c r="D13" s="5" t="s">
        <v>47</v>
      </c>
      <c r="E13" s="7" t="s">
        <v>29</v>
      </c>
      <c r="F13" s="13">
        <v>46174</v>
      </c>
      <c r="G13" s="5" t="s">
        <v>29</v>
      </c>
      <c r="H13" t="str">
        <f>VLOOKUP(B13,[1]Sheet1!$B:$N,13,0)</f>
        <v>Nhung171122@gmail.com</v>
      </c>
    </row>
    <row r="14" spans="1:8" ht="27.6" thickBot="1" x14ac:dyDescent="0.35">
      <c r="A14" s="2" t="s">
        <v>48</v>
      </c>
      <c r="B14" s="3" t="s">
        <v>49</v>
      </c>
      <c r="C14" s="5" t="s">
        <v>50</v>
      </c>
      <c r="D14" s="5" t="s">
        <v>51</v>
      </c>
      <c r="E14" s="7" t="s">
        <v>29</v>
      </c>
      <c r="F14" s="13">
        <v>46174</v>
      </c>
      <c r="G14" s="5" t="s">
        <v>29</v>
      </c>
      <c r="H14" t="str">
        <f>VLOOKUP(B14,[1]Sheet1!$B:$N,13,0)</f>
        <v>hoang.hong.anh.thuy@gmail.com</v>
      </c>
    </row>
    <row r="15" spans="1:8" ht="15" thickBot="1" x14ac:dyDescent="0.35">
      <c r="A15" s="2" t="s">
        <v>52</v>
      </c>
      <c r="B15" s="3" t="s">
        <v>53</v>
      </c>
      <c r="C15" s="5" t="s">
        <v>15</v>
      </c>
      <c r="D15" s="5" t="s">
        <v>44</v>
      </c>
      <c r="E15" s="9" t="s">
        <v>36</v>
      </c>
      <c r="F15" s="13">
        <v>46174</v>
      </c>
      <c r="G15" s="5" t="s">
        <v>29</v>
      </c>
      <c r="H15" t="str">
        <f>VLOOKUP(B15,[1]Sheet1!$B:$N,13,0)</f>
        <v>binh201187@gmail.com</v>
      </c>
    </row>
    <row r="16" spans="1:8" ht="15" thickBot="1" x14ac:dyDescent="0.35">
      <c r="A16" s="2" t="s">
        <v>54</v>
      </c>
      <c r="B16" s="2" t="s">
        <v>55</v>
      </c>
      <c r="C16" s="5" t="s">
        <v>19</v>
      </c>
      <c r="D16" s="5" t="s">
        <v>56</v>
      </c>
      <c r="E16" s="7" t="s">
        <v>29</v>
      </c>
      <c r="F16" s="13">
        <v>46188</v>
      </c>
      <c r="G16" s="5" t="s">
        <v>29</v>
      </c>
      <c r="H16" t="str">
        <f>VLOOKUP(B16,[1]Sheet1!$B:$N,13,0)</f>
        <v>plvanhieu@gmail.com</v>
      </c>
    </row>
    <row r="17" spans="1:8" ht="15" thickBot="1" x14ac:dyDescent="0.35">
      <c r="A17" s="2" t="s">
        <v>57</v>
      </c>
      <c r="B17" s="2" t="s">
        <v>58</v>
      </c>
      <c r="C17" s="5" t="s">
        <v>15</v>
      </c>
      <c r="D17" s="5" t="s">
        <v>44</v>
      </c>
      <c r="E17" s="7" t="s">
        <v>29</v>
      </c>
      <c r="F17" s="13">
        <v>46196</v>
      </c>
      <c r="G17" s="5" t="s">
        <v>29</v>
      </c>
      <c r="H17" t="s">
        <v>68</v>
      </c>
    </row>
    <row r="18" spans="1:8" ht="15" thickBot="1" x14ac:dyDescent="0.35">
      <c r="A18" s="2"/>
      <c r="B18" s="2" t="s">
        <v>65</v>
      </c>
      <c r="C18" s="5" t="s">
        <v>19</v>
      </c>
      <c r="D18" s="5" t="s">
        <v>59</v>
      </c>
      <c r="E18" s="8" t="s">
        <v>30</v>
      </c>
      <c r="F18" s="13">
        <v>46204</v>
      </c>
      <c r="G18" s="5" t="s">
        <v>29</v>
      </c>
      <c r="H18" t="str">
        <f>VLOOKUP(B18,[1]Sheet1!$B:$N,13,0)</f>
        <v>daotuan6325@gmail.com</v>
      </c>
    </row>
    <row r="19" spans="1:8" ht="15" thickBot="1" x14ac:dyDescent="0.35">
      <c r="A19" s="2"/>
      <c r="B19" s="2" t="s">
        <v>60</v>
      </c>
      <c r="C19" s="5" t="s">
        <v>19</v>
      </c>
      <c r="D19" s="5" t="s">
        <v>61</v>
      </c>
      <c r="E19" s="8" t="s">
        <v>30</v>
      </c>
      <c r="F19" s="13">
        <v>46204</v>
      </c>
      <c r="G19" s="5" t="s">
        <v>62</v>
      </c>
      <c r="H19" t="s">
        <v>69</v>
      </c>
    </row>
    <row r="20" spans="1:8" ht="15" thickBot="1" x14ac:dyDescent="0.35">
      <c r="A20" s="2"/>
      <c r="B20" s="15" t="s">
        <v>66</v>
      </c>
      <c r="C20" s="5" t="s">
        <v>19</v>
      </c>
      <c r="D20" s="5" t="s">
        <v>61</v>
      </c>
      <c r="E20" s="8" t="s">
        <v>30</v>
      </c>
      <c r="F20" s="13">
        <v>46204</v>
      </c>
      <c r="G20" s="5" t="s">
        <v>62</v>
      </c>
      <c r="H20" t="str">
        <f>VLOOKUP(B20,[1]Sheet1!$B:$N,13,0)</f>
        <v>nguyenquanghieugl2019@gmail.com</v>
      </c>
    </row>
    <row r="21" spans="1:8" ht="15" thickBot="1" x14ac:dyDescent="0.35">
      <c r="A21" s="2"/>
      <c r="B21" s="16" t="s">
        <v>67</v>
      </c>
      <c r="C21" s="5" t="s">
        <v>19</v>
      </c>
      <c r="D21" s="5" t="s">
        <v>63</v>
      </c>
      <c r="E21" s="8" t="s">
        <v>30</v>
      </c>
      <c r="F21" s="13">
        <v>46204</v>
      </c>
      <c r="G21" s="5" t="s">
        <v>62</v>
      </c>
      <c r="H21" t="str">
        <f>VLOOKUP(B21,[1]Sheet1!$B:$N,13,0)</f>
        <v>anhnv30042004@gmail.com</v>
      </c>
    </row>
  </sheetData>
  <conditionalFormatting sqref="B1:B1048576">
    <cfRule type="duplicateValues" dxfId="0" priority="1"/>
  </conditionalFormatting>
  <hyperlinks>
    <hyperlink ref="H11" r:id="rId1" xr:uid="{333B7B11-8653-43F1-81C1-3A96FA6BA3B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 Hoang Bao Hana</dc:creator>
  <cp:lastModifiedBy>Nguyen Viet Anh 20224923</cp:lastModifiedBy>
  <dcterms:created xsi:type="dcterms:W3CDTF">2026-06-29T07:57:55Z</dcterms:created>
  <dcterms:modified xsi:type="dcterms:W3CDTF">2026-06-30T10:00:30Z</dcterms:modified>
</cp:coreProperties>
</file>